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<sst xmlns="http://schemas.openxmlformats.org/spreadsheetml/2006/main" count="41" uniqueCount="35">
  <si>
    <t>Peakfront Equipment Rental LLC SPC</t>
  </si>
  <si>
    <t>Heavy Equipment &amp; Transport Rental</t>
  </si>
  <si>
    <t>Mussafah 17, Abu Dhabi, United Arab Emirates · +971 527459432 · info@peakfront.ae · www.peakfront.ae</t>
  </si>
  <si>
    <t>QUOTATION</t>
  </si>
  <si>
    <t>Quote No.</t>
  </si>
  <si>
    <t>PFQ-2026-001</t>
  </si>
  <si>
    <t>Date</t>
  </si>
  <si>
    <t>Client / Company</t>
  </si>
  <si>
    <t/>
  </si>
  <si>
    <t>Contact Person</t>
  </si>
  <si>
    <t>Project / Site</t>
  </si>
  <si>
    <t>Location</t>
  </si>
  <si>
    <t>Rental Period</t>
  </si>
  <si>
    <t>Valid Until</t>
  </si>
  <si>
    <t>#</t>
  </si>
  <si>
    <t>Description</t>
  </si>
  <si>
    <t>Qty</t>
  </si>
  <si>
    <t>Unit</t>
  </si>
  <si>
    <t>Rate (AED)</t>
  </si>
  <si>
    <t>Days</t>
  </si>
  <si>
    <t>Amount (AED)</t>
  </si>
  <si>
    <t>20T Crawler Excavator (example — edit or delete)</t>
  </si>
  <si>
    <t>Low Bed Trailer (example — edit or delete)</t>
  </si>
  <si>
    <t>Trip</t>
  </si>
  <si>
    <t>Subtotal</t>
  </si>
  <si>
    <t>VAT (5%)</t>
  </si>
  <si>
    <t>Grand Total (AED)</t>
  </si>
  <si>
    <t>Terms &amp; Conditions</t>
  </si>
  <si>
    <t>• Rates are in AED and exclude fuel, operator and mobilisation unless stated.</t>
  </si>
  <si>
    <t>• Delivery, permits and offloading quoted separately where applicable.</t>
  </si>
  <si>
    <t>• Equipment supplied subject to availability and standard rental agreement.</t>
  </si>
  <si>
    <t>• Payment terms: as agreed. Quote valid for 7 days from date above.</t>
  </si>
  <si>
    <t>Prepared by:</t>
  </si>
  <si>
    <t>Accepted by (Client):</t>
  </si>
  <si>
    <t xml:space="preserve">Irfan Dayan
Managing Director
Peakfront Equipment Rental LLC 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</si>
</sst>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39C12"/>
      <sz val="10"/>
    </font>
    <font>
      <color rgb="FF475569"/>
      <sz val="9"/>
    </font>
    <font>
      <b/>
      <color rgb="FF0B2545"/>
      <sz val="13"/>
    </font>
    <font>
      <b/>
      <color rgb="FF0B2545"/>
      <sz val="10"/>
    </font>
    <font>
      <b/>
      <color rgb="FFFFFFFF"/>
      <sz val="10"/>
    </font>
    <font>
      <b/>
      <color rgb="FF0B2545"/>
      <sz val="11"/>
    </font>
    <font>
      <b/>
      <color rgb="FF0B2545"/>
      <sz val="12"/>
    </font>
    <font>
      <color rgb="FF334155"/>
      <sz val="9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39C12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vertical="center" wrapText="1"/>
    </xf>
    <xf numFmtId="0" fontId="7" fillId="3" borderId="0" xfId="0" applyFont="1" applyFill="1" applyAlignment="1">
      <alignment horizontal="right" vertical="center" wrapText="1"/>
    </xf>
    <xf numFmtId="4" fontId="8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5" fillId="0" borderId="0" xfId="0" applyFont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4" customWidth="1"/>
    <col min="3" max="3" width="8" customWidth="1"/>
    <col min="4" max="4" width="10" customWidth="1"/>
    <col min="5" max="5" width="12" customWidth="1"/>
    <col min="6" max="6" width="10" customWidth="1"/>
    <col min="7" max="7" width="14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5" ht="24" customHeight="1" spans="1:7" x14ac:dyDescent="0.25">
      <c r="A5" s="4" t="s">
        <v>3</v>
      </c>
      <c r="B5" s="4"/>
      <c r="C5" s="4"/>
      <c r="D5" s="4"/>
      <c r="E5" s="4"/>
      <c r="F5" s="4"/>
      <c r="G5" s="4"/>
    </row>
    <row r="7" ht="22" customHeight="1" spans="1:7" x14ac:dyDescent="0.25">
      <c r="A7" s="5" t="s">
        <v>4</v>
      </c>
      <c r="B7" s="6" t="s">
        <v>5</v>
      </c>
      <c r="C7" s="6"/>
      <c r="E7" s="5" t="s">
        <v>6</v>
      </c>
      <c r="F7" s="7">
        <f>TODAY()</f>
        <v>46231.60220903935</v>
      </c>
      <c r="G7" s="7"/>
    </row>
    <row r="8" ht="22" customHeight="1" spans="1:7" x14ac:dyDescent="0.25">
      <c r="A8" s="5" t="s">
        <v>7</v>
      </c>
      <c r="B8" s="6" t="s">
        <v>8</v>
      </c>
      <c r="C8" s="6"/>
      <c r="E8" s="5" t="s">
        <v>9</v>
      </c>
      <c r="F8" s="6" t="s">
        <v>8</v>
      </c>
      <c r="G8" s="6"/>
    </row>
    <row r="9" ht="22" customHeight="1" spans="1:7" x14ac:dyDescent="0.25">
      <c r="A9" s="5" t="s">
        <v>10</v>
      </c>
      <c r="B9" s="6" t="s">
        <v>8</v>
      </c>
      <c r="C9" s="6"/>
      <c r="E9" s="5" t="s">
        <v>11</v>
      </c>
      <c r="F9" s="6" t="s">
        <v>8</v>
      </c>
      <c r="G9" s="6"/>
    </row>
    <row r="10" ht="22" customHeight="1" spans="1:7" x14ac:dyDescent="0.25">
      <c r="A10" s="5" t="s">
        <v>12</v>
      </c>
      <c r="B10" s="6" t="s">
        <v>8</v>
      </c>
      <c r="C10" s="6"/>
      <c r="E10" s="5" t="s">
        <v>13</v>
      </c>
      <c r="F10" s="6" t="s">
        <v>8</v>
      </c>
      <c r="G10" s="6"/>
    </row>
    <row r="18" ht="22" customHeight="1" spans="1:7" x14ac:dyDescent="0.25">
      <c r="A18" s="8" t="s">
        <v>14</v>
      </c>
      <c r="B18" s="8" t="s">
        <v>15</v>
      </c>
      <c r="C18" s="9" t="s">
        <v>16</v>
      </c>
      <c r="D18" s="9" t="s">
        <v>17</v>
      </c>
      <c r="E18" s="9" t="s">
        <v>18</v>
      </c>
      <c r="F18" s="9" t="s">
        <v>19</v>
      </c>
      <c r="G18" s="9" t="s">
        <v>20</v>
      </c>
    </row>
    <row r="20" ht="22" customHeight="1" spans="1:7" x14ac:dyDescent="0.25">
      <c r="A20" s="10">
        <v>1</v>
      </c>
      <c r="B20" s="6" t="s">
        <v>21</v>
      </c>
      <c r="C20" s="11">
        <v>1</v>
      </c>
      <c r="D20" s="6" t="s">
        <v>17</v>
      </c>
      <c r="E20" s="12">
        <v>950</v>
      </c>
      <c r="F20" s="11">
        <v>1</v>
      </c>
      <c r="G20" s="12">
        <f>IF(OR(C20="",E20=""),"",C20*E20*IF(F20="",1,F20))</f>
      </c>
    </row>
    <row r="21" ht="22" customHeight="1" spans="1:7" x14ac:dyDescent="0.25">
      <c r="A21" s="10">
        <v>2</v>
      </c>
      <c r="B21" s="6" t="s">
        <v>22</v>
      </c>
      <c r="C21" s="11">
        <v>1</v>
      </c>
      <c r="D21" s="6" t="s">
        <v>23</v>
      </c>
      <c r="E21" s="12">
        <v>1200</v>
      </c>
      <c r="F21" s="11">
        <v>1</v>
      </c>
      <c r="G21" s="12">
        <f>IF(OR(C21="",E21=""),"",C21*E21*IF(F21="",1,F21))</f>
      </c>
    </row>
    <row r="22" ht="22" customHeight="1" spans="1:7" x14ac:dyDescent="0.25">
      <c r="A22" s="10">
        <v>3</v>
      </c>
      <c r="B22" s="6"/>
      <c r="C22" s="11"/>
      <c r="D22" s="6"/>
      <c r="E22" s="12"/>
      <c r="F22" s="11"/>
      <c r="G22" s="12">
        <f>IF(OR(C22="",E22=""),"",C22*E22*IF(F22="",1,F22))</f>
      </c>
    </row>
    <row r="23" ht="22" customHeight="1" spans="1:7" x14ac:dyDescent="0.25">
      <c r="A23" s="10">
        <v>4</v>
      </c>
      <c r="B23" s="6"/>
      <c r="C23" s="11"/>
      <c r="D23" s="6"/>
      <c r="E23" s="12"/>
      <c r="F23" s="11"/>
      <c r="G23" s="12">
        <f>IF(OR(C23="",E23=""),"",C23*E23*IF(F23="",1,F23))</f>
      </c>
    </row>
    <row r="24" ht="22" customHeight="1" spans="1:7" x14ac:dyDescent="0.25">
      <c r="A24" s="10">
        <v>5</v>
      </c>
      <c r="B24" s="6"/>
      <c r="C24" s="11"/>
      <c r="D24" s="6"/>
      <c r="E24" s="12"/>
      <c r="F24" s="11"/>
      <c r="G24" s="12">
        <f>IF(OR(C24="",E24=""),"",C24*E24*IF(F24="",1,F24))</f>
      </c>
    </row>
    <row r="25" ht="22" customHeight="1" spans="1:7" x14ac:dyDescent="0.25">
      <c r="A25" s="10">
        <v>6</v>
      </c>
      <c r="B25" s="6"/>
      <c r="C25" s="11"/>
      <c r="D25" s="6"/>
      <c r="E25" s="12"/>
      <c r="F25" s="11"/>
      <c r="G25" s="12">
        <f>IF(OR(C25="",E25=""),"",C25*E25*IF(F25="",1,F25))</f>
      </c>
    </row>
    <row r="26" ht="22" customHeight="1" spans="1:7" x14ac:dyDescent="0.25">
      <c r="A26" s="10">
        <v>7</v>
      </c>
      <c r="B26" s="6"/>
      <c r="C26" s="11"/>
      <c r="D26" s="6"/>
      <c r="E26" s="12"/>
      <c r="F26" s="11"/>
      <c r="G26" s="12">
        <f>IF(OR(C26="",E26=""),"",C26*E26*IF(F26="",1,F26))</f>
      </c>
    </row>
    <row r="27" ht="22" customHeight="1" spans="1:7" x14ac:dyDescent="0.25">
      <c r="A27" s="10">
        <v>8</v>
      </c>
      <c r="B27" s="6"/>
      <c r="C27" s="11"/>
      <c r="D27" s="6"/>
      <c r="E27" s="12"/>
      <c r="F27" s="11"/>
      <c r="G27" s="12">
        <f>IF(OR(C27="",E27=""),"",C27*E27*IF(F27="",1,F27))</f>
      </c>
    </row>
    <row r="28" ht="22" customHeight="1" spans="1:7" x14ac:dyDescent="0.25">
      <c r="A28" s="10">
        <v>9</v>
      </c>
      <c r="B28" s="6"/>
      <c r="C28" s="11"/>
      <c r="D28" s="6"/>
      <c r="E28" s="12"/>
      <c r="F28" s="11"/>
      <c r="G28" s="12">
        <f>IF(OR(C28="",E28=""),"",C28*E28*IF(F28="",1,F28))</f>
      </c>
    </row>
    <row r="29" ht="22" customHeight="1" spans="1:7" x14ac:dyDescent="0.25">
      <c r="A29" s="10">
        <v>10</v>
      </c>
      <c r="B29" s="6"/>
      <c r="C29" s="11"/>
      <c r="D29" s="6"/>
      <c r="E29" s="12"/>
      <c r="F29" s="11"/>
      <c r="G29" s="12">
        <f>IF(OR(C29="",E29=""),"",C29*E29*IF(F29="",1,F29))</f>
      </c>
    </row>
    <row r="30" ht="22" customHeight="1" spans="1:7" x14ac:dyDescent="0.25">
      <c r="A30" s="10">
        <v>11</v>
      </c>
      <c r="B30" s="6"/>
      <c r="C30" s="11"/>
      <c r="D30" s="6"/>
      <c r="E30" s="12"/>
      <c r="F30" s="11"/>
      <c r="G30" s="12">
        <f>IF(OR(C30="",E30=""),"",C30*E30*IF(F30="",1,F30))</f>
      </c>
    </row>
    <row r="31" ht="22" customHeight="1" spans="1:7" x14ac:dyDescent="0.25">
      <c r="A31" s="10">
        <v>12</v>
      </c>
      <c r="B31" s="6"/>
      <c r="C31" s="11"/>
      <c r="D31" s="6"/>
      <c r="E31" s="12"/>
      <c r="F31" s="11"/>
      <c r="G31" s="12">
        <f>IF(OR(C31="",E31=""),"",C31*E31*IF(F31="",1,F31))</f>
      </c>
    </row>
    <row r="33" spans="5:7" x14ac:dyDescent="0.25">
      <c r="E33" s="5" t="s">
        <v>24</v>
      </c>
      <c r="F33" s="5"/>
      <c r="G33" s="12">
        <f>SUM(G20:G31)</f>
      </c>
    </row>
    <row r="34" spans="5:7" x14ac:dyDescent="0.25">
      <c r="E34" s="5" t="s">
        <v>25</v>
      </c>
      <c r="F34" s="5"/>
      <c r="G34" s="12">
        <f>G33*0.05</f>
      </c>
    </row>
    <row r="35" spans="5:7" x14ac:dyDescent="0.25">
      <c r="E35" s="13" t="s">
        <v>26</v>
      </c>
      <c r="F35" s="13"/>
      <c r="G35" s="14">
        <f>G33+G34</f>
      </c>
    </row>
    <row r="37" spans="1:7" x14ac:dyDescent="0.25">
      <c r="A37" s="8" t="s">
        <v>27</v>
      </c>
      <c r="B37" s="8"/>
      <c r="C37" s="8"/>
      <c r="D37" s="8"/>
      <c r="E37" s="8"/>
      <c r="F37" s="8"/>
      <c r="G37" s="8"/>
    </row>
    <row r="38" ht="18" customHeight="1" spans="1:7" x14ac:dyDescent="0.25">
      <c r="A38" s="15" t="s">
        <v>28</v>
      </c>
      <c r="B38" s="15"/>
      <c r="C38" s="15"/>
      <c r="D38" s="15"/>
      <c r="E38" s="15"/>
      <c r="F38" s="15"/>
      <c r="G38" s="15"/>
    </row>
    <row r="39" ht="18" customHeight="1" spans="1:7" x14ac:dyDescent="0.25">
      <c r="A39" s="15" t="s">
        <v>29</v>
      </c>
      <c r="B39" s="15"/>
      <c r="C39" s="15"/>
      <c r="D39" s="15"/>
      <c r="E39" s="15"/>
      <c r="F39" s="15"/>
      <c r="G39" s="15"/>
    </row>
    <row r="40" ht="18" customHeight="1" spans="1:7" x14ac:dyDescent="0.25">
      <c r="A40" s="15" t="s">
        <v>30</v>
      </c>
      <c r="B40" s="15"/>
      <c r="C40" s="15"/>
      <c r="D40" s="15"/>
      <c r="E40" s="15"/>
      <c r="F40" s="15"/>
      <c r="G40" s="15"/>
    </row>
    <row r="41" ht="18" customHeight="1" spans="1:7" x14ac:dyDescent="0.25">
      <c r="A41" s="15" t="s">
        <v>31</v>
      </c>
      <c r="B41" s="15"/>
      <c r="C41" s="15"/>
      <c r="D41" s="15"/>
      <c r="E41" s="15"/>
      <c r="F41" s="15"/>
      <c r="G41" s="15"/>
    </row>
    <row r="43" spans="1:7" x14ac:dyDescent="0.25">
      <c r="A43" s="16" t="s">
        <v>32</v>
      </c>
      <c r="B43" s="16"/>
      <c r="C43" s="16"/>
      <c r="E43" s="16" t="s">
        <v>33</v>
      </c>
      <c r="F43" s="16"/>
      <c r="G43" s="16"/>
    </row>
    <row r="44" spans="1:7" x14ac:dyDescent="0.25">
      <c r="A44" s="17" t="s">
        <v>34</v>
      </c>
      <c r="B44" s="17"/>
      <c r="C44" s="17"/>
      <c r="E44" s="6"/>
      <c r="F44" s="6"/>
      <c r="G44" s="6"/>
    </row>
    <row r="45" spans="1:7" x14ac:dyDescent="0.25">
      <c r="A45" s="17"/>
      <c r="B45" s="17"/>
      <c r="C45" s="17"/>
      <c r="E45" s="6"/>
      <c r="F45" s="6"/>
      <c r="G45" s="6"/>
    </row>
  </sheetData>
  <mergeCells count="24">
    <mergeCell ref="A1:G1"/>
    <mergeCell ref="A2:G2"/>
    <mergeCell ref="A3:G3"/>
    <mergeCell ref="A5:G5"/>
    <mergeCell ref="B7:C7"/>
    <mergeCell ref="F7:G7"/>
    <mergeCell ref="B8:C8"/>
    <mergeCell ref="F8:G8"/>
    <mergeCell ref="B9:C9"/>
    <mergeCell ref="F9:G9"/>
    <mergeCell ref="B10:C10"/>
    <mergeCell ref="F10:G10"/>
    <mergeCell ref="E33:F33"/>
    <mergeCell ref="E34:F34"/>
    <mergeCell ref="E35:F35"/>
    <mergeCell ref="A37:G37"/>
    <mergeCell ref="A38:G38"/>
    <mergeCell ref="A39:G39"/>
    <mergeCell ref="A40:G40"/>
    <mergeCell ref="A41:G41"/>
    <mergeCell ref="A43:C43"/>
    <mergeCell ref="E43:G43"/>
    <mergeCell ref="A44:C45"/>
    <mergeCell ref="E44:G45"/>
  </mergeCells>
  <pageMargins left="0.4" right="0.4" top="0.5" bottom="0.5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Peakfront Equipment Rental LLC SPC</dc:creator>
  <dc:title/>
  <dc:subject/>
  <dc:description/>
  <cp:keywords/>
  <cp:category/>
  <cp:lastModifiedBy>Unknown</cp:lastModifiedBy>
  <dcterms:created xsi:type="dcterms:W3CDTF">2026-07-28T14:27:10Z</dcterms:created>
  <dcterms:modified xsi:type="dcterms:W3CDTF">2026-07-28T14:27:10Z</dcterms:modified>
</cp:coreProperties>
</file>