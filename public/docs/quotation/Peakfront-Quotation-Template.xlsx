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</sheets>
  <calcPr calcId="171027"/>
</workbook>
</file>

<file path=xl/sharedStrings.xml><?xml version="1.0" encoding="utf-8"?>
<sst xmlns="http://schemas.openxmlformats.org/spreadsheetml/2006/main" count="31" uniqueCount="25">
  <si>
    <t>Peakfront Equipment Rental LLC SPC</t>
  </si>
  <si>
    <t>Heavy Equipment &amp; Transport Rental</t>
  </si>
  <si>
    <t>Mussafah 17, Abu Dhabi, United Arab Emirates · +971 527459432 · info@peakfront.ae · www.peakfront.ae</t>
  </si>
  <si>
    <t>QUOTATION</t>
  </si>
  <si>
    <t>Quote No.</t>
  </si>
  <si>
    <t>PFQ-2026-001</t>
  </si>
  <si>
    <t>Date</t>
  </si>
  <si>
    <t>Client / Company</t>
  </si>
  <si>
    <t/>
  </si>
  <si>
    <t>Contact Person</t>
  </si>
  <si>
    <t>Project / Site</t>
  </si>
  <si>
    <t>Location</t>
  </si>
  <si>
    <t>Rental Period</t>
  </si>
  <si>
    <t>Valid Until</t>
  </si>
  <si>
    <t>#</t>
  </si>
  <si>
    <t>Description</t>
  </si>
  <si>
    <t>Qty</t>
  </si>
  <si>
    <t>Unit</t>
  </si>
  <si>
    <t>Rate (AED)</t>
  </si>
  <si>
    <t>Days</t>
  </si>
  <si>
    <t>Amount (AED)</t>
  </si>
  <si>
    <t>20T Crawler Excavator (example)</t>
  </si>
  <si>
    <t>Subtotal</t>
  </si>
  <si>
    <t>VAT (5%)</t>
  </si>
  <si>
    <t>Grand Total (AED)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</si>
</sst>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 mmm yyyy"/>
  </numFmts>
  <fonts count="9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39C12"/>
      <sz val="10"/>
    </font>
    <font>
      <color rgb="FF475569"/>
      <sz val="9"/>
    </font>
    <font>
      <b/>
      <color rgb="FF0B2545"/>
      <sz val="13"/>
    </font>
    <font>
      <b/>
      <color rgb="FF0B2545"/>
      <sz val="10"/>
    </font>
    <font>
      <b/>
      <color rgb="FFFFFFFF"/>
      <sz val="10"/>
    </font>
    <font>
      <b/>
      <color rgb="FF0B2545"/>
      <sz val="11"/>
    </font>
    <font>
      <b/>
      <color rgb="FF0B2545"/>
      <sz val="12"/>
    </font>
  </fonts>
  <fills count="5">
    <fill>
      <patternFill patternType="none"/>
    </fill>
    <fill>
      <patternFill patternType="gray125"/>
    </fill>
    <fill>
      <patternFill patternType="solid">
        <fgColor rgb="FF0B2545"/>
      </patternFill>
    </fill>
    <fill>
      <patternFill patternType="solid">
        <fgColor rgb="FFF39C12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/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4" fontId="0" fillId="0" borderId="1" xfId="0" applyNumberFormat="1" applyBorder="1" applyAlignment="1">
      <alignment vertical="center" wrapText="1"/>
    </xf>
    <xf numFmtId="0" fontId="7" fillId="3" borderId="0" xfId="0" applyFont="1" applyFill="1" applyAlignment="1">
      <alignment horizontal="right" vertical="center" wrapText="1"/>
    </xf>
    <xf numFmtId="4" fontId="8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34" customWidth="1"/>
    <col min="3" max="3" width="8" customWidth="1"/>
    <col min="4" max="4" width="10" customWidth="1"/>
    <col min="5" max="5" width="12" customWidth="1"/>
    <col min="6" max="6" width="10" customWidth="1"/>
    <col min="7" max="7" width="14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/>
      <c r="C3" s="3"/>
      <c r="D3" s="3"/>
      <c r="E3" s="3"/>
      <c r="F3" s="3"/>
      <c r="G3" s="3"/>
    </row>
    <row r="5" spans="1:7" x14ac:dyDescent="0.25">
      <c r="A5" s="4" t="s">
        <v>3</v>
      </c>
      <c r="B5" s="4"/>
      <c r="C5" s="4"/>
      <c r="D5" s="4"/>
      <c r="E5" s="4"/>
      <c r="F5" s="4"/>
      <c r="G5" s="4"/>
    </row>
    <row r="7" ht="22" customHeight="1" spans="1:7" x14ac:dyDescent="0.25">
      <c r="A7" s="5" t="s">
        <v>4</v>
      </c>
      <c r="B7" s="6" t="s">
        <v>5</v>
      </c>
      <c r="C7" s="6"/>
      <c r="E7" s="5" t="s">
        <v>6</v>
      </c>
      <c r="F7" s="7">
        <f>TODAY()</f>
      </c>
      <c r="G7" s="7"/>
    </row>
    <row r="8" ht="22" customHeight="1" spans="1:7" x14ac:dyDescent="0.25">
      <c r="A8" s="5" t="s">
        <v>7</v>
      </c>
      <c r="B8" s="6" t="s">
        <v>8</v>
      </c>
      <c r="C8" s="6"/>
      <c r="E8" s="5" t="s">
        <v>9</v>
      </c>
      <c r="F8" s="6" t="s">
        <v>8</v>
      </c>
      <c r="G8" s="6"/>
    </row>
    <row r="9" ht="22" customHeight="1" spans="1:7" x14ac:dyDescent="0.25">
      <c r="A9" s="5" t="s">
        <v>10</v>
      </c>
      <c r="B9" s="6" t="s">
        <v>8</v>
      </c>
      <c r="C9" s="6"/>
      <c r="E9" s="5" t="s">
        <v>11</v>
      </c>
      <c r="F9" s="6" t="s">
        <v>8</v>
      </c>
      <c r="G9" s="6"/>
    </row>
    <row r="10" ht="22" customHeight="1" spans="1:7" x14ac:dyDescent="0.25">
      <c r="A10" s="5" t="s">
        <v>12</v>
      </c>
      <c r="B10" s="6" t="s">
        <v>8</v>
      </c>
      <c r="C10" s="6"/>
      <c r="E10" s="5" t="s">
        <v>13</v>
      </c>
      <c r="F10" s="6" t="s">
        <v>8</v>
      </c>
      <c r="G10" s="6"/>
    </row>
    <row r="17" spans="1:7" x14ac:dyDescent="0.25">
      <c r="A17" s="8" t="s">
        <v>14</v>
      </c>
      <c r="B17" s="8" t="s">
        <v>15</v>
      </c>
      <c r="C17" s="9" t="s">
        <v>16</v>
      </c>
      <c r="D17" s="9" t="s">
        <v>17</v>
      </c>
      <c r="E17" s="9" t="s">
        <v>18</v>
      </c>
      <c r="F17" s="9" t="s">
        <v>19</v>
      </c>
      <c r="G17" s="9" t="s">
        <v>20</v>
      </c>
    </row>
    <row r="18" spans="1:7" x14ac:dyDescent="0.25">
      <c r="A18">
        <v>1</v>
      </c>
      <c r="B18" s="6" t="s">
        <v>21</v>
      </c>
      <c r="C18" s="6">
        <v>1</v>
      </c>
      <c r="D18" s="6" t="s">
        <v>17</v>
      </c>
      <c r="E18" s="6">
        <v>950</v>
      </c>
      <c r="F18" s="6">
        <v>1</v>
      </c>
      <c r="G18" s="10">
        <f>IF(OR(C18="",E18=""),"",C18*E18*IF(F18="",1,F18))</f>
      </c>
    </row>
    <row r="19" spans="1:7" x14ac:dyDescent="0.25">
      <c r="A19">
        <v>2</v>
      </c>
      <c r="B19" s="6"/>
      <c r="C19" s="6"/>
      <c r="D19" s="6"/>
      <c r="E19" s="6"/>
      <c r="F19" s="6"/>
      <c r="G19" s="10">
        <f>IF(OR(C19="",E19=""),"",C19*E19*IF(F19="",1,F19))</f>
      </c>
    </row>
    <row r="20" spans="1:7" x14ac:dyDescent="0.25">
      <c r="A20">
        <v>3</v>
      </c>
      <c r="B20" s="6"/>
      <c r="C20" s="6"/>
      <c r="D20" s="6"/>
      <c r="E20" s="6"/>
      <c r="F20" s="6"/>
      <c r="G20" s="10">
        <f>IF(OR(C20="",E20=""),"",C20*E20*IF(F20="",1,F20))</f>
      </c>
    </row>
    <row r="21" spans="1:7" x14ac:dyDescent="0.25">
      <c r="A21">
        <v>4</v>
      </c>
      <c r="B21" s="6"/>
      <c r="C21" s="6"/>
      <c r="D21" s="6"/>
      <c r="E21" s="6"/>
      <c r="F21" s="6"/>
      <c r="G21" s="10">
        <f>IF(OR(C21="",E21=""),"",C21*E21*IF(F21="",1,F21))</f>
      </c>
    </row>
    <row r="22" spans="1:7" x14ac:dyDescent="0.25">
      <c r="A22">
        <v>5</v>
      </c>
      <c r="B22" s="6"/>
      <c r="C22" s="6"/>
      <c r="D22" s="6"/>
      <c r="E22" s="6"/>
      <c r="F22" s="6"/>
      <c r="G22" s="10">
        <f>IF(OR(C22="",E22=""),"",C22*E22*IF(F22="",1,F22))</f>
      </c>
    </row>
    <row r="23" spans="1:7" x14ac:dyDescent="0.25">
      <c r="A23">
        <v>6</v>
      </c>
      <c r="B23" s="6"/>
      <c r="C23" s="6"/>
      <c r="D23" s="6"/>
      <c r="E23" s="6"/>
      <c r="F23" s="6"/>
      <c r="G23" s="10">
        <f>IF(OR(C23="",E23=""),"",C23*E23*IF(F23="",1,F23))</f>
      </c>
    </row>
    <row r="24" spans="1:7" x14ac:dyDescent="0.25">
      <c r="A24">
        <v>7</v>
      </c>
      <c r="B24" s="6"/>
      <c r="C24" s="6"/>
      <c r="D24" s="6"/>
      <c r="E24" s="6"/>
      <c r="F24" s="6"/>
      <c r="G24" s="10">
        <f>IF(OR(C24="",E24=""),"",C24*E24*IF(F24="",1,F24))</f>
      </c>
    </row>
    <row r="25" spans="1:7" x14ac:dyDescent="0.25">
      <c r="A25">
        <v>8</v>
      </c>
      <c r="B25" s="6"/>
      <c r="C25" s="6"/>
      <c r="D25" s="6"/>
      <c r="E25" s="6"/>
      <c r="F25" s="6"/>
      <c r="G25" s="10">
        <f>IF(OR(C25="",E25=""),"",C25*E25*IF(F25="",1,F25))</f>
      </c>
    </row>
    <row r="26" spans="1:7" x14ac:dyDescent="0.25">
      <c r="A26">
        <v>9</v>
      </c>
      <c r="B26" s="6"/>
      <c r="C26" s="6"/>
      <c r="D26" s="6"/>
      <c r="E26" s="6"/>
      <c r="F26" s="6"/>
      <c r="G26" s="10">
        <f>IF(OR(C26="",E26=""),"",C26*E26*IF(F26="",1,F26))</f>
      </c>
    </row>
    <row r="27" spans="1:7" x14ac:dyDescent="0.25">
      <c r="A27">
        <v>10</v>
      </c>
      <c r="B27" s="6"/>
      <c r="C27" s="6"/>
      <c r="D27" s="6"/>
      <c r="E27" s="6"/>
      <c r="F27" s="6"/>
      <c r="G27" s="10">
        <f>IF(OR(C27="",E27=""),"",C27*E27*IF(F27="",1,F27))</f>
      </c>
    </row>
    <row r="29" spans="5:7" x14ac:dyDescent="0.25">
      <c r="E29" s="5" t="s">
        <v>22</v>
      </c>
      <c r="F29" s="5"/>
      <c r="G29" s="10">
        <f>SUM(G18:G27)</f>
      </c>
    </row>
    <row r="30" spans="5:7" x14ac:dyDescent="0.25">
      <c r="E30" s="5" t="s">
        <v>23</v>
      </c>
      <c r="F30" s="5"/>
      <c r="G30" s="10">
        <f>G29*0.05</f>
      </c>
    </row>
    <row r="31" spans="5:7" x14ac:dyDescent="0.25">
      <c r="E31" s="11" t="s">
        <v>24</v>
      </c>
      <c r="F31" s="11"/>
      <c r="G31" s="12">
        <f>G29+G30</f>
      </c>
    </row>
  </sheetData>
  <mergeCells count="15">
    <mergeCell ref="A1:G1"/>
    <mergeCell ref="A2:G2"/>
    <mergeCell ref="A3:G3"/>
    <mergeCell ref="A5:G5"/>
    <mergeCell ref="B7:C7"/>
    <mergeCell ref="F7:G7"/>
    <mergeCell ref="B8:C8"/>
    <mergeCell ref="F8:G8"/>
    <mergeCell ref="B9:C9"/>
    <mergeCell ref="F9:G9"/>
    <mergeCell ref="B10:C10"/>
    <mergeCell ref="F10:G10"/>
    <mergeCell ref="E29:F29"/>
    <mergeCell ref="E30:F30"/>
    <mergeCell ref="E31:F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Peakfront Equipment Rental LLC SPC</dc:creator>
  <dc:title/>
  <dc:subject/>
  <dc:description/>
  <cp:keywords/>
  <cp:category/>
  <cp:lastModifiedBy>Unknown</cp:lastModifiedBy>
  <dcterms:created xsi:type="dcterms:W3CDTF">2026-07-28T17:53:47Z</dcterms:created>
  <dcterms:modified xsi:type="dcterms:W3CDTF">2026-07-28T17:53:47Z</dcterms:modified>
</cp:coreProperties>
</file>