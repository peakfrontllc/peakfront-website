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<sst xmlns="http://schemas.openxmlformats.org/spreadsheetml/2006/main" count="35" uniqueCount="28">
  <si>
    <t>Peakfront Equipment Rental LLC SPC</t>
  </si>
  <si>
    <t>Heavy Equipment &amp; Transport Rental</t>
  </si>
  <si>
    <t>Mussafah 17, Abu Dhabi, United Arab Emirates · +971 527459432 · info@peakfront.ae · www.peakfront.ae</t>
  </si>
  <si>
    <t>TAX INVOICE</t>
  </si>
  <si>
    <t>Invoice No.</t>
  </si>
  <si>
    <t>PINV-2026-001</t>
  </si>
  <si>
    <t>Date</t>
  </si>
  <si>
    <t>Bill To</t>
  </si>
  <si>
    <t/>
  </si>
  <si>
    <t>Contact Person</t>
  </si>
  <si>
    <t>Client TRN</t>
  </si>
  <si>
    <t>Due Date</t>
  </si>
  <si>
    <t>Project / Site</t>
  </si>
  <si>
    <t>Quote / Agreement Ref.</t>
  </si>
  <si>
    <t>Lessor TRN</t>
  </si>
  <si>
    <t>[Enter TRN]</t>
  </si>
  <si>
    <t>Payment Terms</t>
  </si>
  <si>
    <t>#</t>
  </si>
  <si>
    <t>Description</t>
  </si>
  <si>
    <t>Qty</t>
  </si>
  <si>
    <t>Unit</t>
  </si>
  <si>
    <t>Rate (AED)</t>
  </si>
  <si>
    <t>Days</t>
  </si>
  <si>
    <t>Amount (AED)</t>
  </si>
  <si>
    <t>20T Crawler Excavator — rental (example)</t>
  </si>
  <si>
    <t>Subtotal</t>
  </si>
  <si>
    <t>VAT (5%)</t>
  </si>
  <si>
    <t>Grand Total 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</si>
</sst>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b/>
      <color rgb="FF0B2545"/>
      <sz val="10"/>
    </font>
    <font>
      <b/>
      <color rgb="FFFFFFFF"/>
      <sz val="10"/>
    </font>
    <font>
      <b/>
      <color rgb="FF0B2545"/>
      <sz val="11"/>
    </font>
    <font>
      <b/>
      <color rgb="FF0B2545"/>
      <sz val="12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0" borderId="1" xfId="0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4" fontId="8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2" customWidth="1"/>
    <col min="3" max="3" width="8" customWidth="1"/>
    <col min="4" max="4" width="10" customWidth="1"/>
    <col min="5" max="5" width="12" customWidth="1"/>
    <col min="6" max="6" width="8" customWidth="1"/>
    <col min="7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ht="22" customHeight="1" spans="1:7" x14ac:dyDescent="0.25">
      <c r="A7" s="5" t="s">
        <v>4</v>
      </c>
      <c r="B7" s="6" t="s">
        <v>5</v>
      </c>
      <c r="C7" s="6"/>
      <c r="E7" s="5" t="s">
        <v>6</v>
      </c>
      <c r="F7" s="6">
        <f>TODAY()</f>
      </c>
      <c r="G7" s="6"/>
    </row>
    <row r="8" ht="22" customHeight="1" spans="1:7" x14ac:dyDescent="0.25">
      <c r="A8" s="5" t="s">
        <v>7</v>
      </c>
      <c r="B8" s="6" t="s">
        <v>8</v>
      </c>
      <c r="C8" s="6"/>
      <c r="E8" s="5" t="s">
        <v>9</v>
      </c>
      <c r="F8" s="6" t="s">
        <v>8</v>
      </c>
      <c r="G8" s="6"/>
    </row>
    <row r="9" ht="22" customHeight="1" spans="1:7" x14ac:dyDescent="0.25">
      <c r="A9" s="5" t="s">
        <v>10</v>
      </c>
      <c r="B9" s="6" t="s">
        <v>8</v>
      </c>
      <c r="C9" s="6"/>
      <c r="E9" s="5" t="s">
        <v>11</v>
      </c>
      <c r="F9" s="6" t="s">
        <v>8</v>
      </c>
      <c r="G9" s="6"/>
    </row>
    <row r="10" ht="22" customHeight="1" spans="1:7" x14ac:dyDescent="0.25">
      <c r="A10" s="5" t="s">
        <v>12</v>
      </c>
      <c r="B10" s="6" t="s">
        <v>8</v>
      </c>
      <c r="C10" s="6"/>
      <c r="E10" s="5" t="s">
        <v>13</v>
      </c>
      <c r="F10" s="6" t="s">
        <v>8</v>
      </c>
      <c r="G10" s="6"/>
    </row>
    <row r="11" ht="22" customHeight="1" spans="1:7" x14ac:dyDescent="0.25">
      <c r="A11" s="5" t="s">
        <v>14</v>
      </c>
      <c r="B11" s="6" t="s">
        <v>15</v>
      </c>
      <c r="C11" s="6"/>
      <c r="E11" s="5" t="s">
        <v>16</v>
      </c>
      <c r="F11" s="6" t="s">
        <v>8</v>
      </c>
      <c r="G11" s="6"/>
    </row>
    <row r="17" spans="1:7" x14ac:dyDescent="0.25">
      <c r="A17" s="7" t="s">
        <v>17</v>
      </c>
      <c r="B17" s="7" t="s">
        <v>18</v>
      </c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</row>
    <row r="18" spans="1:7" x14ac:dyDescent="0.25">
      <c r="A18">
        <v>1</v>
      </c>
      <c r="B18" s="6" t="s">
        <v>24</v>
      </c>
      <c r="C18" s="6">
        <v>1</v>
      </c>
      <c r="D18" s="6" t="s">
        <v>20</v>
      </c>
      <c r="E18" s="6">
        <v>950</v>
      </c>
      <c r="F18" s="6">
        <v>1</v>
      </c>
      <c r="G18" s="9">
        <f>IF(OR(C18="",E18=""),"",C18*E18*IF(F18="",1,F18))</f>
      </c>
    </row>
    <row r="19" spans="1:7" x14ac:dyDescent="0.25">
      <c r="A19">
        <v>2</v>
      </c>
      <c r="B19" s="6"/>
      <c r="C19" s="6"/>
      <c r="D19" s="6"/>
      <c r="E19" s="6"/>
      <c r="F19" s="6"/>
      <c r="G19" s="9">
        <f>IF(OR(C19="",E19=""),"",C19*E19*IF(F19="",1,F19))</f>
      </c>
    </row>
    <row r="20" spans="1:7" x14ac:dyDescent="0.25">
      <c r="A20">
        <v>3</v>
      </c>
      <c r="B20" s="6"/>
      <c r="C20" s="6"/>
      <c r="D20" s="6"/>
      <c r="E20" s="6"/>
      <c r="F20" s="6"/>
      <c r="G20" s="9">
        <f>IF(OR(C20="",E20=""),"",C20*E20*IF(F20="",1,F20))</f>
      </c>
    </row>
    <row r="21" spans="1:7" x14ac:dyDescent="0.25">
      <c r="A21">
        <v>4</v>
      </c>
      <c r="B21" s="6"/>
      <c r="C21" s="6"/>
      <c r="D21" s="6"/>
      <c r="E21" s="6"/>
      <c r="F21" s="6"/>
      <c r="G21" s="9">
        <f>IF(OR(C21="",E21=""),"",C21*E21*IF(F21="",1,F21))</f>
      </c>
    </row>
    <row r="22" spans="1:7" x14ac:dyDescent="0.25">
      <c r="A22">
        <v>5</v>
      </c>
      <c r="B22" s="6"/>
      <c r="C22" s="6"/>
      <c r="D22" s="6"/>
      <c r="E22" s="6"/>
      <c r="F22" s="6"/>
      <c r="G22" s="9">
        <f>IF(OR(C22="",E22=""),"",C22*E22*IF(F22="",1,F22))</f>
      </c>
    </row>
    <row r="23" spans="1:7" x14ac:dyDescent="0.25">
      <c r="A23">
        <v>6</v>
      </c>
      <c r="B23" s="6"/>
      <c r="C23" s="6"/>
      <c r="D23" s="6"/>
      <c r="E23" s="6"/>
      <c r="F23" s="6"/>
      <c r="G23" s="9">
        <f>IF(OR(C23="",E23=""),"",C23*E23*IF(F23="",1,F23))</f>
      </c>
    </row>
    <row r="24" spans="1:7" x14ac:dyDescent="0.25">
      <c r="A24">
        <v>7</v>
      </c>
      <c r="B24" s="6"/>
      <c r="C24" s="6"/>
      <c r="D24" s="6"/>
      <c r="E24" s="6"/>
      <c r="F24" s="6"/>
      <c r="G24" s="9">
        <f>IF(OR(C24="",E24=""),"",C24*E24*IF(F24="",1,F24))</f>
      </c>
    </row>
    <row r="25" spans="1:7" x14ac:dyDescent="0.25">
      <c r="A25">
        <v>8</v>
      </c>
      <c r="B25" s="6"/>
      <c r="C25" s="6"/>
      <c r="D25" s="6"/>
      <c r="E25" s="6"/>
      <c r="F25" s="6"/>
      <c r="G25" s="9">
        <f>IF(OR(C25="",E25=""),"",C25*E25*IF(F25="",1,F25))</f>
      </c>
    </row>
    <row r="27" spans="5:7" x14ac:dyDescent="0.25">
      <c r="E27" s="5" t="s">
        <v>25</v>
      </c>
      <c r="F27" s="5"/>
      <c r="G27" s="9">
        <f>SUM(G18:G25)</f>
      </c>
    </row>
    <row r="28" spans="5:7" x14ac:dyDescent="0.25">
      <c r="E28" s="5" t="s">
        <v>26</v>
      </c>
      <c r="F28" s="5"/>
      <c r="G28" s="9">
        <f>G27*0.05</f>
      </c>
    </row>
    <row r="29" spans="5:7" x14ac:dyDescent="0.25">
      <c r="E29" s="10" t="s">
        <v>27</v>
      </c>
      <c r="F29" s="10"/>
      <c r="G29" s="11">
        <f>G27+G28</f>
      </c>
    </row>
  </sheetData>
  <mergeCells count="17">
    <mergeCell ref="A1:G1"/>
    <mergeCell ref="A2:G2"/>
    <mergeCell ref="A3:G3"/>
    <mergeCell ref="A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E27:F27"/>
    <mergeCell ref="E28:F28"/>
    <mergeCell ref="E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2026-07-28T17:53:47Z</dcterms:created>
  <dcterms:modified xsi:type="dcterms:W3CDTF">2026-07-28T17:53:47Z</dcterms:modified>
</cp:coreProperties>
</file>